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cheme val="minor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lightGray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1F3864"/>
      </patternFill>
    </fill>
  </fills>
  <borders count="2">
    <border/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Sheet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1" displayName="Tabell1" ref="A1:H48" headerRowCount="1">
  <tableColumns count="8">
    <tableColumn id="1" name="Kategori"/>
    <tableColumn id="2" name="Del"/>
    <tableColumn id="3" name="Anbefalt intervall (km/år)"/>
    <tableColumn id="4" name="Sist byttet (dato)"/>
    <tableColumn id="5" name="Km-stand ved sist bytte"/>
    <tableColumn id="6" name="Neste anbefalte bytte (km)"/>
    <tableColumn id="7" name="Status"/>
    <tableColumn id="8" name="Kommentarer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0" customWidth="1" style="5" min="1" max="1"/>
    <col width="30" customWidth="1" style="5" min="2" max="2"/>
    <col width="25" customWidth="1" style="5" min="3" max="3"/>
    <col width="18" customWidth="1" style="5" min="4" max="4"/>
    <col width="22" customWidth="1" style="5" min="5" max="5"/>
    <col width="25" customWidth="1" style="5" min="6" max="6"/>
    <col width="18" customWidth="1" style="5" min="7" max="7"/>
    <col width="60" customWidth="1" style="5" min="8" max="8"/>
    <col width="8.710000000000001" customWidth="1" style="5" min="9" max="26"/>
  </cols>
  <sheetData>
    <row r="1" ht="30" customHeight="1" s="5">
      <c r="A1" s="6" t="inlineStr">
        <is>
          <t>Kategori</t>
        </is>
      </c>
      <c r="B1" s="6" t="inlineStr">
        <is>
          <t>Del</t>
        </is>
      </c>
      <c r="C1" s="6" t="inlineStr">
        <is>
          <t>Anbefalt intervall (km/år)</t>
        </is>
      </c>
      <c r="D1" s="6" t="inlineStr">
        <is>
          <t>Sist byttet (dato)</t>
        </is>
      </c>
      <c r="E1" s="6" t="inlineStr">
        <is>
          <t>Km-stand ved sist bytte</t>
        </is>
      </c>
      <c r="F1" s="6" t="inlineStr">
        <is>
          <t>Neste anbefalte bytte (km)</t>
        </is>
      </c>
      <c r="G1" s="6" t="inlineStr">
        <is>
          <t>Status</t>
        </is>
      </c>
      <c r="H1" s="6" t="inlineStr">
        <is>
          <t>Kommentarer</t>
        </is>
      </c>
    </row>
    <row r="2" ht="22.5" customHeight="1" s="5">
      <c r="A2" s="7" t="inlineStr">
        <is>
          <t>Annet</t>
        </is>
      </c>
      <c r="B2" s="7" t="inlineStr">
        <is>
          <t>Vindusviskere</t>
        </is>
      </c>
      <c r="C2" s="7" t="inlineStr">
        <is>
          <t>1 år/ved behov</t>
        </is>
      </c>
      <c r="D2" s="7" t="n"/>
      <c r="E2" s="7" t="n"/>
      <c r="F2" s="7" t="n"/>
      <c r="G2" s="7" t="inlineStr">
        <is>
          <t>⚪ Ukjent</t>
        </is>
      </c>
      <c r="H2" s="7" t="n"/>
    </row>
    <row r="3" ht="22.5" customHeight="1" s="5">
      <c r="A3" s="7" t="inlineStr">
        <is>
          <t>Annet</t>
        </is>
      </c>
      <c r="B3" s="7" t="inlineStr">
        <is>
          <t>Panser- / baklukedemper</t>
        </is>
      </c>
      <c r="C3" s="7" t="inlineStr">
        <is>
          <t>Ved behov (~100 000 km)</t>
        </is>
      </c>
      <c r="D3" s="7" t="n"/>
      <c r="E3" s="7" t="n"/>
      <c r="F3" s="7" t="n"/>
      <c r="G3" s="7" t="inlineStr">
        <is>
          <t>⚪ Ukjent</t>
        </is>
      </c>
      <c r="H3" s="7" t="n"/>
    </row>
    <row r="4" ht="22.5" customHeight="1" s="5">
      <c r="A4" s="7" t="inlineStr">
        <is>
          <t>Elektrisk system</t>
        </is>
      </c>
      <c r="B4" s="7" t="inlineStr">
        <is>
          <t>Coil packs (tennspoler)</t>
        </is>
      </c>
      <c r="C4" s="7" t="inlineStr">
        <is>
          <t>80-120 000 km</t>
        </is>
      </c>
      <c r="D4" s="7" t="n">
        <v>2025</v>
      </c>
      <c r="E4" s="7" t="n">
        <v>183000</v>
      </c>
      <c r="F4" s="7" t="n">
        <v>283000</v>
      </c>
      <c r="G4" s="8" t="inlineStr">
        <is>
          <t>🟢 OK</t>
        </is>
      </c>
      <c r="H4" s="7" t="inlineStr">
        <is>
          <t>⚠️ Kjent svakhet på C6 RS6 – svikter tidlig. Sjekk revisjon på coil packs. Byttet 2025 @ 183 000 km ✓</t>
        </is>
      </c>
    </row>
    <row r="5" ht="22.5" customHeight="1" s="5">
      <c r="A5" s="7" t="inlineStr">
        <is>
          <t>Elektrisk system</t>
        </is>
      </c>
      <c r="B5" s="7" t="inlineStr">
        <is>
          <t>Batteri</t>
        </is>
      </c>
      <c r="C5" s="7" t="inlineStr">
        <is>
          <t>5-7 år</t>
        </is>
      </c>
      <c r="D5" s="7" t="n">
        <v>2024</v>
      </c>
      <c r="E5" s="7" t="n"/>
      <c r="F5" s="7">
        <f>D5+5</f>
        <v/>
      </c>
      <c r="G5" s="7" t="inlineStr">
        <is>
          <t>⚪ Ukjent</t>
        </is>
      </c>
      <c r="H5" s="7" t="n"/>
    </row>
    <row r="6" ht="22.5" customHeight="1" s="5">
      <c r="A6" s="7" t="inlineStr">
        <is>
          <t>Motor / Drivverk</t>
        </is>
      </c>
      <c r="B6" s="7" t="inlineStr">
        <is>
          <t>Oljeskift motor</t>
        </is>
      </c>
      <c r="C6" s="7" t="inlineStr">
        <is>
          <t>10 000 km/1 år</t>
        </is>
      </c>
      <c r="D6" s="7" t="n"/>
      <c r="E6" s="7" t="n"/>
      <c r="F6" s="7" t="n"/>
      <c r="G6" s="7" t="inlineStr">
        <is>
          <t>⚪ Ukjent</t>
        </is>
      </c>
      <c r="H6" s="7" t="inlineStr">
        <is>
          <t>Bruk kun VW 502.00/505.00 godkjent 5W-40 (eller 0W-40 for norske vintre). Med V10 turbo, vurder 7 500 km-intervall.</t>
        </is>
      </c>
    </row>
    <row r="7" ht="22.5" customHeight="1" s="5">
      <c r="A7" s="7" t="inlineStr">
        <is>
          <t>Motor / Drivverk</t>
        </is>
      </c>
      <c r="B7" s="7" t="inlineStr">
        <is>
          <t>Tennplugger</t>
        </is>
      </c>
      <c r="C7" s="7" t="inlineStr">
        <is>
          <t>50-60 000 km</t>
        </is>
      </c>
      <c r="D7" s="7" t="inlineStr">
        <is>
          <t>08.25</t>
        </is>
      </c>
      <c r="E7" s="7" t="n">
        <v>183000</v>
      </c>
      <c r="F7" s="7" t="n">
        <v>238000</v>
      </c>
      <c r="G7" s="8" t="inlineStr">
        <is>
          <t>🟢 OK</t>
        </is>
      </c>
      <c r="H7" s="7" t="inlineStr">
        <is>
          <t>Ikke overtrekk ved montering – pluggen kan løsne fra topplokket! Anbefalt bytte hvert 40 000 km på V10. Byttet 08.25 ✓</t>
        </is>
      </c>
    </row>
    <row r="8" ht="22.5" customHeight="1" s="5">
      <c r="A8" s="7" t="inlineStr">
        <is>
          <t>Motor / Drivverk</t>
        </is>
      </c>
      <c r="B8" s="7" t="inlineStr">
        <is>
          <t>Luftfilter</t>
        </is>
      </c>
      <c r="C8" s="7" t="inlineStr">
        <is>
          <t>20-30 000 km</t>
        </is>
      </c>
      <c r="D8" s="7" t="inlineStr">
        <is>
          <t>08.25</t>
        </is>
      </c>
      <c r="E8" s="7" t="n">
        <v>183000</v>
      </c>
      <c r="F8" s="7" t="n">
        <v>208000</v>
      </c>
      <c r="G8" s="8" t="inlineStr">
        <is>
          <t>🟢 OK</t>
        </is>
      </c>
      <c r="H8" s="7" t="n"/>
    </row>
    <row r="9" ht="22.5" customHeight="1" s="5">
      <c r="A9" s="7" t="inlineStr">
        <is>
          <t>Motor / Drivverk</t>
        </is>
      </c>
      <c r="B9" s="7" t="inlineStr">
        <is>
          <t>Kupefilter</t>
        </is>
      </c>
      <c r="C9" s="7" t="inlineStr">
        <is>
          <t>20 000 km/1 år</t>
        </is>
      </c>
      <c r="D9" s="7" t="n"/>
      <c r="E9" s="7" t="n"/>
      <c r="F9" s="7" t="n"/>
      <c r="G9" s="7" t="inlineStr">
        <is>
          <t>⚪ Ukjent</t>
        </is>
      </c>
      <c r="H9" s="7" t="n"/>
    </row>
    <row r="10" ht="22.5" customHeight="1" s="5">
      <c r="A10" s="7" t="inlineStr">
        <is>
          <t>Motor / Drivverk</t>
        </is>
      </c>
      <c r="B10" s="7" t="inlineStr">
        <is>
          <t>Drivstoffilter</t>
        </is>
      </c>
      <c r="C10" s="7" t="inlineStr">
        <is>
          <t>60 000 km</t>
        </is>
      </c>
      <c r="D10" s="7" t="inlineStr">
        <is>
          <t>08.25</t>
        </is>
      </c>
      <c r="E10" s="7" t="n">
        <v>183000</v>
      </c>
      <c r="F10" s="7" t="n">
        <v>243000</v>
      </c>
      <c r="G10" s="8" t="inlineStr">
        <is>
          <t>🟢 OK</t>
        </is>
      </c>
      <c r="H10" s="7" t="n"/>
    </row>
    <row r="11" ht="22.5" customHeight="1" s="5">
      <c r="A11" s="7" t="inlineStr">
        <is>
          <t>Motor / Drivverk</t>
        </is>
      </c>
      <c r="B11" s="7" t="inlineStr">
        <is>
          <t>Automatkasseolje (ZF 6HP26A)</t>
        </is>
      </c>
      <c r="C11" s="7" t="inlineStr">
        <is>
          <t>60-80 000 km</t>
        </is>
      </c>
      <c r="D11" s="7" t="n"/>
      <c r="E11" s="7" t="n"/>
      <c r="F11" s="7" t="n"/>
      <c r="G11" s="7" t="inlineStr">
        <is>
          <t>⚪ Ukjent</t>
        </is>
      </c>
      <c r="H11" s="7" t="inlineStr">
        <is>
          <t>Bruk KUN ZF Lifeguard Fluid 6. Anbefalt kortere intervall (40-50 000 km) for RS6-bruk.</t>
        </is>
      </c>
    </row>
    <row r="12" ht="22.5" customHeight="1" s="5">
      <c r="A12" s="7" t="inlineStr">
        <is>
          <t>Motor / Drivverk</t>
        </is>
      </c>
      <c r="B12" s="7" t="inlineStr">
        <is>
          <t>Differensialolje foran/bak</t>
        </is>
      </c>
      <c r="C12" s="7" t="inlineStr">
        <is>
          <t>60 000 km</t>
        </is>
      </c>
      <c r="D12" s="7" t="n"/>
      <c r="E12" s="7" t="n"/>
      <c r="F12" s="7" t="n"/>
      <c r="G12" s="7" t="inlineStr">
        <is>
          <t>⚪ Ukjent</t>
        </is>
      </c>
      <c r="H12" s="7" t="n"/>
    </row>
    <row r="13" ht="22.5" customHeight="1" s="5">
      <c r="A13" s="7" t="inlineStr">
        <is>
          <t>Motor / Drivverk</t>
        </is>
      </c>
      <c r="B13" s="7" t="inlineStr">
        <is>
          <t>Registerkjede (inspeksjon)</t>
        </is>
      </c>
      <c r="C13" s="7" t="inlineStr">
        <is>
          <t>200 000 km (inspeksjon)</t>
        </is>
      </c>
      <c r="D13" s="7" t="n"/>
      <c r="E13" s="7" t="n"/>
      <c r="F13" s="7" t="n"/>
      <c r="G13" s="7" t="inlineStr">
        <is>
          <t>⚪ Ukjent</t>
        </is>
      </c>
      <c r="H13" s="7" t="inlineStr">
        <is>
          <t>Lytt etter rattle ved kaldstart – kjedespenner-problemer er kjent. Ikke vent til 200 000 km om det er lyder.</t>
        </is>
      </c>
    </row>
    <row r="14" ht="22.5" customHeight="1" s="5">
      <c r="A14" s="7" t="inlineStr">
        <is>
          <t>Motor / Drivverk</t>
        </is>
      </c>
      <c r="B14" s="7" t="inlineStr">
        <is>
          <t>Dynamo-reim</t>
        </is>
      </c>
      <c r="C14" s="7" t="inlineStr">
        <is>
          <t>80-100 000 km</t>
        </is>
      </c>
      <c r="D14" s="7" t="n"/>
      <c r="E14" s="7" t="n"/>
      <c r="F14" s="7" t="n"/>
      <c r="G14" s="7" t="inlineStr">
        <is>
          <t>⚪ Ukjent</t>
        </is>
      </c>
      <c r="H14" s="7" t="n"/>
    </row>
    <row r="15" ht="22.5" customHeight="1" s="5">
      <c r="A15" s="7" t="inlineStr">
        <is>
          <t>Motor / Drivverk</t>
        </is>
      </c>
      <c r="B15" s="7" t="inlineStr">
        <is>
          <t>Reimhjul/strammehjul</t>
        </is>
      </c>
      <c r="C15" s="7" t="inlineStr">
        <is>
          <t>80-100 000 km</t>
        </is>
      </c>
      <c r="D15" s="7" t="n"/>
      <c r="E15" s="7" t="n"/>
      <c r="F15" s="7" t="n"/>
      <c r="G15" s="7" t="inlineStr">
        <is>
          <t>⚪ Ukjent</t>
        </is>
      </c>
      <c r="H15" s="7" t="n"/>
    </row>
    <row r="16" ht="22.5" customHeight="1" s="5">
      <c r="A16" s="7" t="inlineStr">
        <is>
          <t>Motor / Drivverk</t>
        </is>
      </c>
      <c r="B16" s="7" t="inlineStr">
        <is>
          <t>Kjølevæske</t>
        </is>
      </c>
      <c r="C16" s="7" t="inlineStr">
        <is>
          <t>3-5 år</t>
        </is>
      </c>
      <c r="D16" s="7" t="n"/>
      <c r="E16" s="7" t="n"/>
      <c r="F16" s="7" t="n"/>
      <c r="G16" s="7" t="inlineStr">
        <is>
          <t>⚪ Ukjent</t>
        </is>
      </c>
      <c r="H16" s="7" t="n"/>
    </row>
    <row r="17" ht="22.5" customHeight="1" s="5">
      <c r="A17" s="7" t="inlineStr">
        <is>
          <t>Motor / Drivverk</t>
        </is>
      </c>
      <c r="B17" s="7" t="inlineStr">
        <is>
          <t>Servoolje</t>
        </is>
      </c>
      <c r="C17" s="7" t="inlineStr">
        <is>
          <t>60 000 km</t>
        </is>
      </c>
      <c r="D17" s="7" t="n"/>
      <c r="E17" s="7" t="n"/>
      <c r="F17" s="7" t="n"/>
      <c r="G17" s="7" t="inlineStr">
        <is>
          <t>⚪ Ukjent</t>
        </is>
      </c>
      <c r="H17" s="7" t="n"/>
    </row>
    <row r="18" ht="22.5" customHeight="1" s="5">
      <c r="A18" s="7" t="inlineStr">
        <is>
          <t>Motor / Drivverk</t>
        </is>
      </c>
      <c r="B18" s="7" t="inlineStr">
        <is>
          <t>PCV-ventil</t>
        </is>
      </c>
      <c r="C18" s="7" t="inlineStr">
        <is>
          <t>80-100 000 km</t>
        </is>
      </c>
      <c r="D18" s="7" t="n"/>
      <c r="E18" s="7" t="n"/>
      <c r="F18" s="7" t="n"/>
      <c r="G18" s="7" t="inlineStr">
        <is>
          <t>⚪ Ukjent</t>
        </is>
      </c>
      <c r="H18" s="7" t="inlineStr">
        <is>
          <t>Oljetåkeseparator/PCV-problemer gir oljelekkasje og høyt oljeforbruk. Viktig å ikke overse.</t>
        </is>
      </c>
    </row>
    <row r="19" ht="22.5" customHeight="1" s="5">
      <c r="A19" s="7" t="inlineStr">
        <is>
          <t>Motor / Drivverk</t>
        </is>
      </c>
      <c r="B19" s="7" t="inlineStr">
        <is>
          <t>Lambda-sonder</t>
        </is>
      </c>
      <c r="C19" s="7" t="inlineStr">
        <is>
          <t>120-150 000 km</t>
        </is>
      </c>
      <c r="D19" s="7" t="n"/>
      <c r="E19" s="7" t="n"/>
      <c r="F19" s="7" t="n"/>
      <c r="G19" s="7" t="inlineStr">
        <is>
          <t>⚪ Ukjent</t>
        </is>
      </c>
      <c r="H19" s="7" t="n"/>
    </row>
    <row r="20" ht="22.5" customHeight="1" s="5">
      <c r="A20" s="7" t="inlineStr">
        <is>
          <t>Motor / Drivverk</t>
        </is>
      </c>
      <c r="B20" s="7" t="inlineStr">
        <is>
          <t>Motorfester</t>
        </is>
      </c>
      <c r="C20" s="7" t="inlineStr">
        <is>
          <t>100-150 000 km</t>
        </is>
      </c>
      <c r="D20" s="7" t="n"/>
      <c r="E20" s="7" t="n"/>
      <c r="F20" s="7" t="n"/>
      <c r="G20" s="7" t="inlineStr">
        <is>
          <t>⚪ Ukjent</t>
        </is>
      </c>
      <c r="H20" s="7" t="n"/>
    </row>
    <row r="21" ht="15.75" customHeight="1" s="5">
      <c r="A21" s="7" t="inlineStr">
        <is>
          <t>Motor / Drivverk</t>
        </is>
      </c>
      <c r="B21" s="7" t="inlineStr">
        <is>
          <t>Intercooler-slanger</t>
        </is>
      </c>
      <c r="C21" s="7" t="inlineStr">
        <is>
          <t>80-120 000 km</t>
        </is>
      </c>
      <c r="D21" s="7" t="n"/>
      <c r="E21" s="7" t="n"/>
      <c r="F21" s="7" t="n"/>
      <c r="G21" s="7" t="inlineStr">
        <is>
          <t>⚪ Ukjent</t>
        </is>
      </c>
      <c r="H21" s="7" t="n"/>
    </row>
    <row r="22" ht="15.75" customHeight="1" s="5">
      <c r="A22" s="7" t="inlineStr">
        <is>
          <t>Motor / Drivverk</t>
        </is>
      </c>
      <c r="B22" s="7" t="inlineStr">
        <is>
          <t>Turbo bypass-ventil (Diverter valve)</t>
        </is>
      </c>
      <c r="C22" s="7" t="inlineStr">
        <is>
          <t>60-80 000 km</t>
        </is>
      </c>
      <c r="D22" s="7" t="n"/>
      <c r="E22" s="7" t="n"/>
      <c r="F22" s="7" t="n"/>
      <c r="G22" s="7" t="inlineStr">
        <is>
          <t>⚪ Ukjent</t>
        </is>
      </c>
      <c r="H22" s="7" t="n"/>
    </row>
    <row r="23" ht="15.75" customHeight="1" s="5">
      <c r="A23" s="7" t="inlineStr">
        <is>
          <t>Motor / Drivverk</t>
        </is>
      </c>
      <c r="B23" s="7" t="inlineStr">
        <is>
          <t>Vakumslanger</t>
        </is>
      </c>
      <c r="C23" s="7" t="inlineStr">
        <is>
          <t>80-120 000 km</t>
        </is>
      </c>
      <c r="D23" s="7" t="n"/>
      <c r="E23" s="7" t="n"/>
      <c r="F23" s="7" t="n"/>
      <c r="G23" s="7" t="inlineStr">
        <is>
          <t>⚪ Ukjent</t>
        </is>
      </c>
      <c r="H23" s="7" t="n"/>
    </row>
    <row r="24" ht="15.75" customHeight="1" s="5">
      <c r="A24" s="7" t="inlineStr">
        <is>
          <t>Motor / Drivverk</t>
        </is>
      </c>
      <c r="B24" s="7" t="inlineStr">
        <is>
          <t>Multireim (serpentinereim)</t>
        </is>
      </c>
      <c r="C24" s="7" t="inlineStr">
        <is>
          <t>60-80 000 km</t>
        </is>
      </c>
      <c r="D24" s="7" t="n"/>
      <c r="E24" s="7" t="n"/>
      <c r="F24" s="7" t="n"/>
      <c r="G24" s="7" t="inlineStr">
        <is>
          <t>⚪ Ukjent</t>
        </is>
      </c>
      <c r="H24" s="7" t="n"/>
    </row>
    <row r="25" ht="15.75" customHeight="1" s="5">
      <c r="A25" s="7" t="inlineStr">
        <is>
          <t>Motor / Drivverk</t>
        </is>
      </c>
      <c r="B25" s="7" t="inlineStr">
        <is>
          <t>Transmisjonsfester</t>
        </is>
      </c>
      <c r="C25" s="7" t="inlineStr">
        <is>
          <t>100-150 000 km</t>
        </is>
      </c>
      <c r="D25" s="7" t="n"/>
      <c r="E25" s="7" t="n"/>
      <c r="F25" s="7" t="n"/>
      <c r="G25" s="7" t="inlineStr">
        <is>
          <t>⚪ Ukjent</t>
        </is>
      </c>
      <c r="H25" s="7" t="n"/>
    </row>
    <row r="26" ht="15.75" customHeight="1" s="5">
      <c r="A26" s="7" t="inlineStr">
        <is>
          <t>Motor / Drivverk</t>
        </is>
      </c>
      <c r="B26" s="7" t="inlineStr">
        <is>
          <t>Startmotor / Dynamo</t>
        </is>
      </c>
      <c r="C26" s="7" t="inlineStr">
        <is>
          <t>150 000-200 000 km</t>
        </is>
      </c>
      <c r="D26" s="7" t="n"/>
      <c r="E26" s="7" t="n"/>
      <c r="F26" s="7" t="n"/>
      <c r="G26" s="7" t="inlineStr">
        <is>
          <t>⚪ Ukjent</t>
        </is>
      </c>
      <c r="H26" s="7" t="n"/>
    </row>
    <row r="27" ht="15.75" customHeight="1" s="5">
      <c r="A27" s="7" t="inlineStr">
        <is>
          <t>Motor / Drivverk</t>
        </is>
      </c>
      <c r="B27" s="7" t="inlineStr">
        <is>
          <t>MAF / MAP-sensorer</t>
        </is>
      </c>
      <c r="C27" s="7" t="inlineStr">
        <is>
          <t>60 000-120 000 km</t>
        </is>
      </c>
      <c r="D27" s="7" t="n"/>
      <c r="E27" s="7" t="n"/>
      <c r="F27" s="7" t="n"/>
      <c r="G27" s="7" t="inlineStr">
        <is>
          <t>⚪ Ukjent</t>
        </is>
      </c>
      <c r="H27" s="7" t="inlineStr">
        <is>
          <t>Kjent for å svikte på C6-plattformen. Ha på radaren.</t>
        </is>
      </c>
    </row>
    <row r="28" ht="15.75" customHeight="1" s="5">
      <c r="A28" s="7" t="inlineStr">
        <is>
          <t>Motor / Drivverk</t>
        </is>
      </c>
      <c r="B28" s="7" t="inlineStr">
        <is>
          <t>Vannpumpe / Termostat</t>
        </is>
      </c>
      <c r="C28" s="7" t="inlineStr">
        <is>
          <t>80 000-120 000 km</t>
        </is>
      </c>
      <c r="D28" s="7" t="n"/>
      <c r="E28" s="7" t="n"/>
      <c r="F28" s="7" t="n"/>
      <c r="G28" s="7" t="inlineStr">
        <is>
          <t>⚪ Ukjent</t>
        </is>
      </c>
      <c r="H28" s="7" t="n"/>
    </row>
    <row r="29" ht="15.75" customHeight="1" s="5">
      <c r="A29" s="7" t="inlineStr">
        <is>
          <t>Motor / Drivverk</t>
        </is>
      </c>
      <c r="B29" s="7" t="inlineStr">
        <is>
          <t>Injectors (innsprøytningsdyser)</t>
        </is>
      </c>
      <c r="C29" s="7" t="inlineStr">
        <is>
          <t>120 000-180 000 km</t>
        </is>
      </c>
      <c r="D29" s="7" t="n"/>
      <c r="E29" s="7" t="n"/>
      <c r="F29" s="7" t="n"/>
      <c r="G29" s="7" t="inlineStr">
        <is>
          <t>⚪ Ukjent</t>
        </is>
      </c>
      <c r="H29" s="7" t="n"/>
    </row>
    <row r="30" ht="15.75" customHeight="1" s="5">
      <c r="A30" s="7" t="inlineStr">
        <is>
          <t>Motor / Drivverk</t>
        </is>
      </c>
      <c r="B30" s="7" t="inlineStr">
        <is>
          <t>Eksosanlegg oppheng</t>
        </is>
      </c>
      <c r="C30" s="7" t="inlineStr">
        <is>
          <t>80 000-120 000 km</t>
        </is>
      </c>
      <c r="D30" s="7" t="n"/>
      <c r="E30" s="7" t="n"/>
      <c r="F30" s="7" t="n"/>
      <c r="G30" s="7" t="inlineStr">
        <is>
          <t>⚪ Ukjent</t>
        </is>
      </c>
      <c r="H30" s="7" t="n"/>
    </row>
    <row r="31" ht="15.75" customHeight="1" s="5">
      <c r="A31" s="7" t="inlineStr">
        <is>
          <t>Motor / Drivverk</t>
        </is>
      </c>
      <c r="B31" s="7" t="inlineStr">
        <is>
          <t>Katalysatorer / lambda-sonder</t>
        </is>
      </c>
      <c r="C31" s="7" t="inlineStr">
        <is>
          <t>150 000-200 000 km</t>
        </is>
      </c>
      <c r="D31" s="7" t="n"/>
      <c r="E31" s="7" t="n"/>
      <c r="F31" s="7" t="n"/>
      <c r="G31" s="7" t="inlineStr">
        <is>
          <t>⚪ Ukjent</t>
        </is>
      </c>
      <c r="H31" s="7" t="n"/>
    </row>
    <row r="32" ht="15.75" customHeight="1" s="5">
      <c r="A32" s="7" t="inlineStr">
        <is>
          <t>Motor / Drivverk</t>
        </is>
      </c>
      <c r="B32" s="7" t="inlineStr">
        <is>
          <t>Oljepumpe O-ringer</t>
        </is>
      </c>
      <c r="C32" s="7" t="inlineStr">
        <is>
          <t>Aldersbasert (~10 år / 150 000 km)</t>
        </is>
      </c>
      <c r="D32" s="7" t="n"/>
      <c r="E32" s="7" t="n"/>
      <c r="F32" s="7" t="n"/>
      <c r="G32" s="9" t="inlineStr">
        <is>
          <t>🔴 Forfalt</t>
        </is>
      </c>
      <c r="H32" s="7" t="inlineStr">
        <is>
          <t>⚠️ KRITISK C6 RS6-spesifikk feil! Bilen er 17 år – bør inspiseres/byttes proaktivt. Krever ikke motordemontering. Ca. 1 000 EUR.</t>
        </is>
      </c>
    </row>
    <row r="33" ht="15.75" customHeight="1" s="5">
      <c r="A33" s="7" t="inlineStr">
        <is>
          <t>Motor / Drivverk</t>
        </is>
      </c>
      <c r="B33" s="7" t="inlineStr">
        <is>
          <t>Kjølevæske-rør (plast)</t>
        </is>
      </c>
      <c r="C33" s="7" t="inlineStr">
        <is>
          <t>Aldersbasert (~150 000 km)</t>
        </is>
      </c>
      <c r="D33" s="7" t="n"/>
      <c r="E33" s="7" t="n"/>
      <c r="F33" s="7" t="n"/>
      <c r="G33" s="9" t="inlineStr">
        <is>
          <t>🔴 Forfalt</t>
        </is>
      </c>
      <c r="H33" s="7" t="inlineStr">
        <is>
          <t>⚠️ KRITISK C6 RS6-spesifikk feil! Plastrør sprekker med alder. Krever motordemontering å bytte – svært kostbart. Inspiser nøye.</t>
        </is>
      </c>
    </row>
    <row r="34" ht="15.75" customHeight="1" s="5">
      <c r="A34" s="7" t="inlineStr">
        <is>
          <t>Motor / Drivverk</t>
        </is>
      </c>
      <c r="B34" s="7" t="inlineStr">
        <is>
          <t>Turboer (x2)</t>
        </is>
      </c>
      <c r="C34" s="7" t="inlineStr">
        <is>
          <t>150 000-200 000 km (inspeksjon)</t>
        </is>
      </c>
      <c r="D34" s="7" t="n"/>
      <c r="E34" s="7" t="n"/>
      <c r="F34" s="7" t="n"/>
      <c r="G34" s="7" t="inlineStr">
        <is>
          <t>⚪ Ukjent</t>
        </is>
      </c>
      <c r="H34" s="7" t="inlineStr">
        <is>
          <t>V10 TFSI har to turbos. Lever lenge med god oljeskift-rutine. Sjekk for oljeforbruk og lekasje ved service.</t>
        </is>
      </c>
    </row>
    <row r="35" ht="15.75" customHeight="1" s="5">
      <c r="A35" s="7" t="inlineStr">
        <is>
          <t>Understell / Bremser</t>
        </is>
      </c>
      <c r="B35" s="7" t="inlineStr">
        <is>
          <t>Bremseklosser foran</t>
        </is>
      </c>
      <c r="C35" s="7" t="inlineStr">
        <is>
          <t>30-50 000 km</t>
        </is>
      </c>
      <c r="D35" s="7" t="n"/>
      <c r="E35" s="7" t="n"/>
      <c r="F35" s="7" t="n"/>
      <c r="G35" s="7" t="inlineStr">
        <is>
          <t>⚪ Ukjent</t>
        </is>
      </c>
      <c r="H35" s="7" t="inlineStr">
        <is>
          <t>RS6-realistisk intervall er 15-25 000 km ved sportslig kjøring – kortere enn standard anslag.</t>
        </is>
      </c>
    </row>
    <row r="36" ht="15.75" customHeight="1" s="5">
      <c r="A36" s="7" t="inlineStr">
        <is>
          <t>Understell / Bremser</t>
        </is>
      </c>
      <c r="B36" s="7" t="inlineStr">
        <is>
          <t>Bremseklosser bak</t>
        </is>
      </c>
      <c r="C36" s="7" t="inlineStr">
        <is>
          <t>40-60 000 km</t>
        </is>
      </c>
      <c r="D36" s="7" t="n"/>
      <c r="E36" s="7" t="n"/>
      <c r="F36" s="7" t="n"/>
      <c r="G36" s="7" t="inlineStr">
        <is>
          <t>⚪ Ukjent</t>
        </is>
      </c>
      <c r="H36" s="7" t="n"/>
    </row>
    <row r="37" ht="15.75" customHeight="1" s="5">
      <c r="A37" s="7" t="inlineStr">
        <is>
          <t>Understell / Bremser</t>
        </is>
      </c>
      <c r="B37" s="7" t="inlineStr">
        <is>
          <t>Bremseskiver foran</t>
        </is>
      </c>
      <c r="C37" s="7" t="inlineStr">
        <is>
          <t>60-80 000 km</t>
        </is>
      </c>
      <c r="D37" s="7" t="n"/>
      <c r="E37" s="7" t="n"/>
      <c r="F37" s="7" t="n"/>
      <c r="G37" s="7" t="inlineStr">
        <is>
          <t>⚪ Ukjent</t>
        </is>
      </c>
      <c r="H37" s="7" t="n"/>
    </row>
    <row r="38" ht="15.75" customHeight="1" s="5">
      <c r="A38" s="7" t="inlineStr">
        <is>
          <t>Understell / Bremser</t>
        </is>
      </c>
      <c r="B38" s="7" t="inlineStr">
        <is>
          <t>Bremseskiver bak</t>
        </is>
      </c>
      <c r="C38" s="7" t="inlineStr">
        <is>
          <t>80-100 000 km</t>
        </is>
      </c>
      <c r="D38" s="7" t="n"/>
      <c r="E38" s="7" t="n"/>
      <c r="F38" s="7" t="n"/>
      <c r="G38" s="7" t="inlineStr">
        <is>
          <t>⚪ Ukjent</t>
        </is>
      </c>
      <c r="H38" s="7" t="n"/>
    </row>
    <row r="39" ht="15.75" customHeight="1" s="5">
      <c r="A39" s="7" t="inlineStr">
        <is>
          <t>Understell / Bremser</t>
        </is>
      </c>
      <c r="B39" s="7" t="inlineStr">
        <is>
          <t>Dekk</t>
        </is>
      </c>
      <c r="C39" s="7" t="inlineStr">
        <is>
          <t>20-40 000 km</t>
        </is>
      </c>
      <c r="D39" s="7" t="n"/>
      <c r="E39" s="7" t="n"/>
      <c r="F39" s="7" t="n"/>
      <c r="G39" s="7" t="inlineStr">
        <is>
          <t>⚪ Ukjent</t>
        </is>
      </c>
      <c r="H39" s="7" t="n"/>
    </row>
    <row r="40" ht="15.75" customHeight="1" s="5">
      <c r="A40" s="7" t="inlineStr">
        <is>
          <t>Understell / Bremser</t>
        </is>
      </c>
      <c r="B40" s="7" t="inlineStr">
        <is>
          <t>Støtdempere foran</t>
        </is>
      </c>
      <c r="C40" s="7" t="inlineStr">
        <is>
          <t>100-150 000 km</t>
        </is>
      </c>
      <c r="D40" s="7" t="n"/>
      <c r="E40" s="7" t="n"/>
      <c r="F40" s="7" t="n"/>
      <c r="G40" s="7" t="inlineStr">
        <is>
          <t>⚪ Ukjent</t>
        </is>
      </c>
      <c r="H40" s="7" t="n"/>
    </row>
    <row r="41" ht="15.75" customHeight="1" s="5">
      <c r="A41" s="7" t="inlineStr">
        <is>
          <t>Understell / Bremser</t>
        </is>
      </c>
      <c r="B41" s="7" t="inlineStr">
        <is>
          <t>Støtdempere bak</t>
        </is>
      </c>
      <c r="C41" s="7" t="inlineStr">
        <is>
          <t>100-150 000 km</t>
        </is>
      </c>
      <c r="D41" s="7" t="n"/>
      <c r="E41" s="7" t="n"/>
      <c r="F41" s="7" t="n"/>
      <c r="G41" s="7" t="inlineStr">
        <is>
          <t>⚪ Ukjent</t>
        </is>
      </c>
      <c r="H41" s="7" t="n"/>
    </row>
    <row r="42" ht="15.75" customHeight="1" s="5">
      <c r="A42" s="7" t="inlineStr">
        <is>
          <t>Understell / Bremser</t>
        </is>
      </c>
      <c r="B42" s="7" t="inlineStr">
        <is>
          <t>Stabilisatorstag og foringer</t>
        </is>
      </c>
      <c r="C42" s="7" t="inlineStr">
        <is>
          <t>60-80 000 km</t>
        </is>
      </c>
      <c r="D42" s="7" t="n"/>
      <c r="E42" s="7" t="n"/>
      <c r="F42" s="7" t="n"/>
      <c r="G42" s="7" t="inlineStr">
        <is>
          <t>⚪ Ukjent</t>
        </is>
      </c>
      <c r="H42" s="7" t="n"/>
    </row>
    <row r="43" ht="15.75" customHeight="1" s="5">
      <c r="A43" s="7" t="inlineStr">
        <is>
          <t>Understell / Bremser</t>
        </is>
      </c>
      <c r="B43" s="7" t="inlineStr">
        <is>
          <t>Bærearmer foran</t>
        </is>
      </c>
      <c r="C43" s="7" t="inlineStr">
        <is>
          <t>80-120 000 km</t>
        </is>
      </c>
      <c r="D43" s="7" t="n"/>
      <c r="E43" s="7" t="n"/>
      <c r="F43" s="7" t="n"/>
      <c r="G43" s="7" t="inlineStr">
        <is>
          <t>⚪ Ukjent</t>
        </is>
      </c>
      <c r="H43" s="7" t="n"/>
    </row>
    <row r="44" ht="15.75" customHeight="1" s="5">
      <c r="A44" s="7" t="inlineStr">
        <is>
          <t>Understell / Bremser</t>
        </is>
      </c>
      <c r="B44" s="7" t="inlineStr">
        <is>
          <t>Bærearmer bak</t>
        </is>
      </c>
      <c r="C44" s="7" t="inlineStr">
        <is>
          <t>80-120 000 km</t>
        </is>
      </c>
      <c r="D44" s="7" t="n"/>
      <c r="E44" s="7" t="n"/>
      <c r="F44" s="7" t="n"/>
      <c r="G44" s="7" t="inlineStr">
        <is>
          <t>⚪ Ukjent</t>
        </is>
      </c>
      <c r="H44" s="7" t="n"/>
    </row>
    <row r="45" ht="15.75" customHeight="1" s="5">
      <c r="A45" s="7" t="inlineStr">
        <is>
          <t>Understell / Bremser</t>
        </is>
      </c>
      <c r="B45" s="7" t="inlineStr">
        <is>
          <t>Hjullager foran</t>
        </is>
      </c>
      <c r="C45" s="7" t="inlineStr">
        <is>
          <t>120-150 000 km</t>
        </is>
      </c>
      <c r="D45" s="7" t="n"/>
      <c r="E45" s="7" t="n"/>
      <c r="F45" s="7" t="n"/>
      <c r="G45" s="7" t="inlineStr">
        <is>
          <t>⚪ Ukjent</t>
        </is>
      </c>
      <c r="H45" s="7" t="n"/>
    </row>
    <row r="46" ht="15.75" customHeight="1" s="5">
      <c r="A46" s="7" t="inlineStr">
        <is>
          <t>Understell / Bremser</t>
        </is>
      </c>
      <c r="B46" s="7" t="inlineStr">
        <is>
          <t>Hjullager bak</t>
        </is>
      </c>
      <c r="C46" s="7" t="inlineStr">
        <is>
          <t>120-150 000 km</t>
        </is>
      </c>
      <c r="D46" s="7" t="n"/>
      <c r="E46" s="7" t="n"/>
      <c r="F46" s="7" t="n"/>
      <c r="G46" s="7" t="inlineStr">
        <is>
          <t>⚪ Ukjent</t>
        </is>
      </c>
      <c r="H46" s="7" t="n"/>
    </row>
    <row r="47" ht="15.75" customHeight="1" s="5">
      <c r="A47" s="7" t="inlineStr">
        <is>
          <t>Understell / Bremser</t>
        </is>
      </c>
      <c r="B47" s="7" t="inlineStr">
        <is>
          <t>Bremsevæske</t>
        </is>
      </c>
      <c r="C47" s="7" t="inlineStr">
        <is>
          <t>2 år</t>
        </is>
      </c>
      <c r="D47" s="7" t="n"/>
      <c r="E47" s="7" t="n"/>
      <c r="F47" s="7" t="n"/>
      <c r="G47" s="7" t="inlineStr">
        <is>
          <t>⚪ Ukjent</t>
        </is>
      </c>
      <c r="H47" s="7" t="n"/>
    </row>
    <row r="48" ht="15.75" customHeight="1" s="5">
      <c r="A48" s="7" t="inlineStr">
        <is>
          <t>Understell / Bremser</t>
        </is>
      </c>
      <c r="B48" s="7" t="inlineStr">
        <is>
          <t>Bakre diff-fester</t>
        </is>
      </c>
      <c r="C48" s="7" t="inlineStr">
        <is>
          <t>100-150 000 km</t>
        </is>
      </c>
      <c r="D48" s="7" t="n"/>
      <c r="E48" s="7" t="n"/>
      <c r="F48" s="7" t="n"/>
      <c r="G48" s="7" t="inlineStr">
        <is>
          <t>⚪ Ukjent</t>
        </is>
      </c>
      <c r="H48" s="7" t="n"/>
    </row>
    <row r="49" ht="15.75" customHeight="1" s="5">
      <c r="A49" s="7" t="inlineStr">
        <is>
          <t>Understell / Bremser</t>
        </is>
      </c>
      <c r="B49" s="7" t="inlineStr">
        <is>
          <t>Styrestag / endeledd</t>
        </is>
      </c>
      <c r="C49" s="7" t="inlineStr">
        <is>
          <t>80 000-120 000 km</t>
        </is>
      </c>
      <c r="D49" s="7" t="n"/>
      <c r="E49" s="7" t="n"/>
      <c r="F49" s="7" t="n"/>
      <c r="G49" s="7" t="inlineStr">
        <is>
          <t>⚪ Ukjent</t>
        </is>
      </c>
      <c r="H49" s="7" t="n"/>
    </row>
    <row r="50" ht="15.75" customHeight="1" s="5">
      <c r="A50" s="7" t="inlineStr">
        <is>
          <t>Understell / Bremser</t>
        </is>
      </c>
      <c r="B50" s="7" t="inlineStr">
        <is>
          <t>Drivaksling / CV-ledd</t>
        </is>
      </c>
      <c r="C50" s="7" t="inlineStr">
        <is>
          <t>100 000-150 000 km</t>
        </is>
      </c>
      <c r="D50" s="7" t="n"/>
      <c r="E50" s="7" t="n"/>
      <c r="F50" s="7" t="n"/>
      <c r="G50" s="7" t="inlineStr">
        <is>
          <t>⚪ Ukjent</t>
        </is>
      </c>
      <c r="H50" s="7" t="n"/>
    </row>
    <row r="51" ht="15.75" customHeight="1" s="5">
      <c r="A51" s="7" t="inlineStr">
        <is>
          <t>Understell / Bremser</t>
        </is>
      </c>
      <c r="B51" s="7" t="inlineStr">
        <is>
          <t>Kontrollarmer bak / bærearmer</t>
        </is>
      </c>
      <c r="C51" s="7" t="inlineStr">
        <is>
          <t>120 000-180 000 km</t>
        </is>
      </c>
      <c r="D51" s="7" t="n"/>
      <c r="E51" s="7" t="n"/>
      <c r="F51" s="7" t="n"/>
      <c r="G51" s="7" t="inlineStr">
        <is>
          <t>⚪ Ukjent</t>
        </is>
      </c>
      <c r="H51" s="7" t="n"/>
    </row>
    <row r="52" ht="15.75" customHeight="1" s="5"/>
    <row r="53" ht="15.75" customHeight="1" s="5"/>
    <row r="54" ht="15.75" customHeight="1" s="5"/>
    <row r="55" ht="15.75" customHeight="1" s="5"/>
    <row r="56" ht="15.75" customHeight="1" s="5"/>
    <row r="57" ht="15.75" customHeight="1" s="5"/>
    <row r="58" ht="15.75" customHeight="1" s="5"/>
    <row r="59" ht="15.75" customHeight="1" s="5"/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dataValidations count="1">
    <dataValidation sqref="A2:A48" showDropDown="1" showInputMessage="0" showErrorMessage="1" allowBlank="1" type="list">
      <formula1>"Understell / Bremser,Motor / Drivverk,Elektrisk system,Annet"</formula1>
    </dataValidation>
  </dataValidations>
  <pageMargins left="0.7" right="0.7" top="0.75" bottom="0.75" header="0" footer="0"/>
  <pageSetup orientation="landscape" paperSize="9" fitToHeight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2025-07-27T20:04:23Z</dcterms:created>
  <dcterms:modified xmlns:dcterms="http://purl.org/dc/terms/" xmlns:xsi="http://www.w3.org/2001/XMLSchema-instance" xsi:type="dcterms:W3CDTF">2026-02-22T08:29:22Z</dcterms:modified>
</cp:coreProperties>
</file>